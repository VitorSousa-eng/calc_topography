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cb219cd07a193/Desktop/"/>
    </mc:Choice>
  </mc:AlternateContent>
  <xr:revisionPtr revIDLastSave="17" documentId="8_{DBC58ADC-4A04-4262-8A1C-D498D2516958}" xr6:coauthVersionLast="47" xr6:coauthVersionMax="47" xr10:uidLastSave="{8AEAB0A8-7AF0-486A-AA13-01115C841D07}"/>
  <bookViews>
    <workbookView xWindow="-108" yWindow="-108" windowWidth="23256" windowHeight="12456" xr2:uid="{0BDC5920-B8EA-4BFA-A49F-90B35F66DD21}"/>
  </bookViews>
  <sheets>
    <sheet name="Irradiação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D19" i="1"/>
  <c r="F5" i="1"/>
  <c r="H5" i="1" s="1"/>
  <c r="J5" i="1" s="1"/>
  <c r="F6" i="1"/>
  <c r="H6" i="1" s="1"/>
  <c r="J6" i="1" s="1"/>
  <c r="F7" i="1"/>
  <c r="H7" i="1" s="1"/>
  <c r="J7" i="1" s="1"/>
  <c r="F8" i="1"/>
  <c r="H8" i="1" s="1"/>
  <c r="D17" i="1" s="1"/>
  <c r="F9" i="1"/>
  <c r="H9" i="1" s="1"/>
  <c r="I9" i="1" s="1"/>
  <c r="F4" i="1"/>
  <c r="H4" i="1" s="1"/>
  <c r="I7" i="1" l="1"/>
  <c r="I6" i="1"/>
  <c r="I5" i="1"/>
  <c r="J4" i="1"/>
  <c r="G4" i="1"/>
  <c r="J9" i="1"/>
  <c r="G5" i="1"/>
  <c r="I4" i="1"/>
  <c r="D14" i="1"/>
  <c r="D15" i="1"/>
  <c r="D16" i="1"/>
  <c r="I8" i="1"/>
  <c r="D13" i="1"/>
  <c r="G9" i="1"/>
  <c r="J8" i="1"/>
  <c r="G8" i="1"/>
  <c r="G7" i="1"/>
  <c r="G6" i="1"/>
  <c r="D18" i="1"/>
  <c r="L7" i="1" l="1"/>
  <c r="C16" i="1"/>
  <c r="K7" i="1"/>
  <c r="C13" i="1"/>
  <c r="L4" i="1"/>
  <c r="K4" i="1"/>
  <c r="L5" i="1"/>
  <c r="K5" i="1"/>
  <c r="C14" i="1"/>
  <c r="L6" i="1"/>
  <c r="K6" i="1"/>
  <c r="C15" i="1"/>
  <c r="L8" i="1"/>
  <c r="K8" i="1"/>
  <c r="C17" i="1"/>
  <c r="K9" i="1"/>
  <c r="L9" i="1"/>
  <c r="C18" i="1"/>
</calcChain>
</file>

<file path=xl/sharedStrings.xml><?xml version="1.0" encoding="utf-8"?>
<sst xmlns="http://schemas.openxmlformats.org/spreadsheetml/2006/main" count="36" uniqueCount="28">
  <si>
    <t>PONTOS</t>
  </si>
  <si>
    <t>P1</t>
  </si>
  <si>
    <t>P2</t>
  </si>
  <si>
    <t>P3</t>
  </si>
  <si>
    <t>P4</t>
  </si>
  <si>
    <t>P5</t>
  </si>
  <si>
    <t>P6</t>
  </si>
  <si>
    <t>AZIMUTE</t>
  </si>
  <si>
    <t>MINUTOS</t>
  </si>
  <si>
    <t>SEGUNDOS</t>
  </si>
  <si>
    <t>GRAUS</t>
  </si>
  <si>
    <t>SENO</t>
  </si>
  <si>
    <t>COSSENO</t>
  </si>
  <si>
    <t>DECIMAL</t>
  </si>
  <si>
    <t>DH ORIGEM</t>
  </si>
  <si>
    <t>NORTE</t>
  </si>
  <si>
    <t>SUL</t>
  </si>
  <si>
    <t>LESTE</t>
  </si>
  <si>
    <t>OESTE</t>
  </si>
  <si>
    <t>LATITUDE(Y)</t>
  </si>
  <si>
    <t>LONGITUDE(X)</t>
  </si>
  <si>
    <t>COORDENADAS (XY)</t>
  </si>
  <si>
    <t>X</t>
  </si>
  <si>
    <t>Y</t>
  </si>
  <si>
    <t>Ay</t>
  </si>
  <si>
    <t>Ax</t>
  </si>
  <si>
    <t>COORD ESTAÇÃO TOTAL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</si>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</sst>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darkUp">
        <fgColor theme="1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0" fillId="2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Estação A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Irradiação01!$G$12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Irradiação01!$G$13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F-4950-99CB-B231869E1B70}"/>
            </c:ext>
          </c:extLst>
        </c:ser>
        <c:ser>
          <c:idx val="8"/>
          <c:order val="8"/>
          <c:tx>
            <c:v>Série</c:v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Irradiação01!$C$13:$C$19</c:f>
              <c:numCache>
                <c:formatCode>General</c:formatCode>
                <c:ptCount val="7"/>
                <c:pt idx="0">
                  <c:v>2.8300725853898583</c:v>
                </c:pt>
                <c:pt idx="1">
                  <c:v>28.022550215903184</c:v>
                </c:pt>
                <c:pt idx="2">
                  <c:v>17.09553663554464</c:v>
                </c:pt>
                <c:pt idx="3">
                  <c:v>-0.15732813291832781</c:v>
                </c:pt>
                <c:pt idx="4">
                  <c:v>-14.676188882682407</c:v>
                </c:pt>
                <c:pt idx="5">
                  <c:v>-21.013499566359517</c:v>
                </c:pt>
                <c:pt idx="6">
                  <c:v>2.8300725853898583</c:v>
                </c:pt>
              </c:numCache>
            </c:numRef>
          </c:xVal>
          <c:yVal>
            <c:numRef>
              <c:f>Irradiação01!$D$13:$D$19</c:f>
              <c:numCache>
                <c:formatCode>General</c:formatCode>
                <c:ptCount val="7"/>
                <c:pt idx="0">
                  <c:v>28.07270763858422</c:v>
                </c:pt>
                <c:pt idx="1">
                  <c:v>17.659836024074064</c:v>
                </c:pt>
                <c:pt idx="2">
                  <c:v>0.43223621175355592</c:v>
                </c:pt>
                <c:pt idx="3">
                  <c:v>-18.088315810450467</c:v>
                </c:pt>
                <c:pt idx="4">
                  <c:v>-18.670216492580618</c:v>
                </c:pt>
                <c:pt idx="5">
                  <c:v>15.166412264428535</c:v>
                </c:pt>
                <c:pt idx="6">
                  <c:v>28.07270763858422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77F-4950-99CB-B231869E1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597184"/>
        <c:axId val="100859766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P1</c:v>
                </c:tx>
                <c:spPr>
                  <a:ln w="95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Irradiação01!$C$13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2.8300725853898583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Irradiação01!$D$13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28.07270763858422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E77F-4950-99CB-B231869E1B7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P2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28.022550215903184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17.659836024074064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7F-4950-99CB-B231869E1B7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P3</c:v>
                </c:tx>
                <c:spPr>
                  <a:ln w="95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17.09553663554464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0.43223621175355592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7F-4950-99CB-B231869E1B7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P4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-0.15732813291832781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-18.088315810450467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7F-4950-99CB-B231869E1B7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P5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-14.676188882682407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-18.670216492580618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7F-4950-99CB-B231869E1B7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P6</c:v>
                </c:tx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-21.013499566359517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15.166412264428535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7F-4950-99CB-B231869E1B7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P1</c:v>
                </c:tx>
                <c:spPr>
                  <a:ln w="95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Irradiação01!$C$13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2.8300725853898583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Irradiação01!$D$13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28.07270763858422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7F-4950-99CB-B231869E1B70}"/>
                  </c:ext>
                </c:extLst>
              </c15:ser>
            </c15:filteredScatterSeries>
          </c:ext>
        </c:extLst>
      </c:scatterChart>
      <c:valAx>
        <c:axId val="100859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8597664"/>
        <c:crosses val="autoZero"/>
        <c:crossBetween val="midCat"/>
      </c:valAx>
      <c:valAx>
        <c:axId val="100859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859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10</xdr:row>
      <xdr:rowOff>125730</xdr:rowOff>
    </xdr:from>
    <xdr:to>
      <xdr:col>11</xdr:col>
      <xdr:colOff>643440</xdr:colOff>
      <xdr:row>30</xdr:row>
      <xdr:rowOff>52890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38203C-7D43-A112-F9AA-0EA742046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269967</xdr:colOff>
      <xdr:row>21</xdr:row>
      <xdr:rowOff>26126</xdr:rowOff>
    </xdr:from>
    <xdr:to>
      <xdr:col>9</xdr:col>
      <xdr:colOff>474618</xdr:colOff>
      <xdr:row>22</xdr:row>
      <xdr:rowOff>21772</xdr:rowOff>
    </xdr:to>
    <xdr:sp macro="" textlink="">
      <xdr:nvSpPr>
        <xdr:cNvPr id="3" name="Triângulo isósceles 2">
          <a:extLst>
            <a:ext uri="{FF2B5EF4-FFF2-40B4-BE49-F238E27FC236}">
              <a16:creationId xmlns:a16="http://schemas.microsoft.com/office/drawing/2014/main" id="{D638DDF5-5A75-C1F3-CE35-105D1F9E1CE3}"/>
            </a:ext>
          </a:extLst>
        </xdr:cNvPr>
        <xdr:cNvSpPr/>
      </xdr:nvSpPr>
      <xdr:spPr>
        <a:xfrm>
          <a:off x="7881258" y="3884023"/>
          <a:ext cx="204651" cy="178526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10</xdr:col>
      <xdr:colOff>713393</xdr:colOff>
      <xdr:row>26</xdr:row>
      <xdr:rowOff>29738</xdr:rowOff>
    </xdr:from>
    <xdr:to>
      <xdr:col>11</xdr:col>
      <xdr:colOff>416595</xdr:colOff>
      <xdr:row>29</xdr:row>
      <xdr:rowOff>51596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C8F4AB6-1ED8-53BF-89A7-4957012A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327" y="4782869"/>
          <a:ext cx="577629" cy="565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6DF9-D902-485A-85B2-C662CCC43D2B}">
  <dimension ref="A1:L19"/>
  <sheetViews>
    <sheetView tabSelected="1" zoomScale="70" zoomScaleNormal="70" workbookViewId="0">
      <selection activeCell="E23" sqref="E23"/>
    </sheetView>
  </sheetViews>
  <sheetFormatPr defaultRowHeight="14.4" x14ac:dyDescent="0.3"/>
  <cols>
    <col min="2" max="12" width="12.77734375" customWidth="1"/>
  </cols>
  <sheetData>
    <row r="1" spans="1:12" ht="18" customHeight="1" x14ac:dyDescent="0.3">
      <c r="A1" s="4" t="s">
        <v>0</v>
      </c>
      <c r="B1" s="5" t="s">
        <v>14</v>
      </c>
      <c r="C1" s="19" t="s">
        <v>7</v>
      </c>
      <c r="D1" s="19"/>
      <c r="E1" s="19"/>
      <c r="F1" s="19"/>
      <c r="G1" s="6"/>
      <c r="H1" s="6"/>
      <c r="I1" s="19" t="s">
        <v>19</v>
      </c>
      <c r="J1" s="19"/>
      <c r="K1" s="19" t="s">
        <v>20</v>
      </c>
      <c r="L1" s="20"/>
    </row>
    <row r="2" spans="1:12" ht="15.6" x14ac:dyDescent="0.3">
      <c r="A2" s="7"/>
      <c r="B2" s="1"/>
      <c r="C2" s="2" t="s">
        <v>10</v>
      </c>
      <c r="D2" s="2" t="s">
        <v>8</v>
      </c>
      <c r="E2" s="2" t="s">
        <v>9</v>
      </c>
      <c r="F2" s="2" t="s">
        <v>13</v>
      </c>
      <c r="G2" s="2" t="s">
        <v>11</v>
      </c>
      <c r="H2" s="2" t="s">
        <v>12</v>
      </c>
      <c r="I2" s="2" t="s">
        <v>15</v>
      </c>
      <c r="J2" s="2" t="s">
        <v>16</v>
      </c>
      <c r="K2" s="2" t="s">
        <v>17</v>
      </c>
      <c r="L2" s="8" t="s">
        <v>18</v>
      </c>
    </row>
    <row r="3" spans="1:12" ht="15.6" x14ac:dyDescent="0.3">
      <c r="A3" s="9" t="s">
        <v>27</v>
      </c>
      <c r="B3" s="1"/>
      <c r="C3" s="2">
        <v>0</v>
      </c>
      <c r="D3" s="2">
        <v>0</v>
      </c>
      <c r="E3" s="2">
        <v>0</v>
      </c>
      <c r="F3" s="2">
        <v>0</v>
      </c>
      <c r="G3" s="1"/>
      <c r="H3" s="1"/>
      <c r="I3" s="2"/>
      <c r="J3" s="1"/>
      <c r="K3" s="1"/>
      <c r="L3" s="1"/>
    </row>
    <row r="4" spans="1:12" ht="15.6" x14ac:dyDescent="0.3">
      <c r="A4" s="9" t="s">
        <v>1</v>
      </c>
      <c r="B4" s="3">
        <v>28.215</v>
      </c>
      <c r="C4" s="2">
        <v>5</v>
      </c>
      <c r="D4" s="2">
        <v>45</v>
      </c>
      <c r="E4" s="2">
        <v>24</v>
      </c>
      <c r="F4" s="2">
        <f>C4+D4/60+E4/3600</f>
        <v>5.7566666666666668</v>
      </c>
      <c r="G4" s="2">
        <f>SIN(RADIANS(F4))</f>
        <v>0.10030383077759554</v>
      </c>
      <c r="H4" s="2">
        <f>COS(RADIANS(F4))</f>
        <v>0.99495685410541268</v>
      </c>
      <c r="I4" s="2">
        <f>IF(H4*B4&gt;0,H4*B4,"")</f>
        <v>28.07270763858422</v>
      </c>
      <c r="J4" s="2" t="str">
        <f>IF(H4*B4&lt;0,H4*B4,"")</f>
        <v/>
      </c>
      <c r="K4" s="2">
        <f>IF(G4*B4&gt;0,G4*B4,"")</f>
        <v>2.8300725853898583</v>
      </c>
      <c r="L4" s="8" t="str">
        <f>IF(G4*B4&lt;0,G4*B4,"")</f>
        <v/>
      </c>
    </row>
    <row r="5" spans="1:12" ht="15.6" x14ac:dyDescent="0.3">
      <c r="A5" s="9" t="s">
        <v>2</v>
      </c>
      <c r="B5" s="3">
        <v>33.122999999999998</v>
      </c>
      <c r="C5" s="2">
        <v>57</v>
      </c>
      <c r="D5" s="2">
        <v>46</v>
      </c>
      <c r="E5" s="2">
        <v>51</v>
      </c>
      <c r="F5" s="2">
        <f t="shared" ref="F5:F9" si="0">C5+D5/60+E5/3600</f>
        <v>57.780833333333334</v>
      </c>
      <c r="G5" s="2">
        <f t="shared" ref="G5:G9" si="1">SIN(RADIANS(F5))</f>
        <v>0.84601486024524308</v>
      </c>
      <c r="H5" s="2">
        <f t="shared" ref="H5:H9" si="2">COS(RADIANS(F5))</f>
        <v>0.53315931600622124</v>
      </c>
      <c r="I5" s="2">
        <f t="shared" ref="I5:I9" si="3">IF(H5*B5&gt;0,H5*B5,"")</f>
        <v>17.659836024074064</v>
      </c>
      <c r="J5" s="2" t="str">
        <f t="shared" ref="J5:J9" si="4">IF(H5*B5&lt;0,H5*B5,"")</f>
        <v/>
      </c>
      <c r="K5" s="2">
        <f t="shared" ref="K5:K9" si="5">IF(G5*B5&gt;0,G5*B5,"")</f>
        <v>28.022550215903184</v>
      </c>
      <c r="L5" s="8" t="str">
        <f t="shared" ref="L5:L9" si="6">IF(G5*B5&lt;0,G5*B5,"")</f>
        <v/>
      </c>
    </row>
    <row r="6" spans="1:12" ht="15.6" x14ac:dyDescent="0.3">
      <c r="A6" s="9" t="s">
        <v>3</v>
      </c>
      <c r="B6" s="3">
        <v>17.100999999999999</v>
      </c>
      <c r="C6" s="2">
        <v>88</v>
      </c>
      <c r="D6" s="2">
        <v>33</v>
      </c>
      <c r="E6" s="2">
        <v>6</v>
      </c>
      <c r="F6" s="2">
        <f t="shared" si="0"/>
        <v>88.551666666666662</v>
      </c>
      <c r="G6" s="2">
        <f t="shared" si="1"/>
        <v>0.99968052368543592</v>
      </c>
      <c r="H6" s="2">
        <f t="shared" si="2"/>
        <v>2.527549334855014E-2</v>
      </c>
      <c r="I6" s="2">
        <f t="shared" si="3"/>
        <v>0.43223621175355592</v>
      </c>
      <c r="J6" s="2" t="str">
        <f t="shared" si="4"/>
        <v/>
      </c>
      <c r="K6" s="2">
        <f t="shared" si="5"/>
        <v>17.09553663554464</v>
      </c>
      <c r="L6" s="8" t="str">
        <f t="shared" si="6"/>
        <v/>
      </c>
    </row>
    <row r="7" spans="1:12" ht="15.6" x14ac:dyDescent="0.3">
      <c r="A7" s="9" t="s">
        <v>4</v>
      </c>
      <c r="B7" s="3">
        <v>18.088999999999999</v>
      </c>
      <c r="C7" s="2">
        <v>180</v>
      </c>
      <c r="D7" s="2">
        <v>29</v>
      </c>
      <c r="E7" s="2">
        <v>54</v>
      </c>
      <c r="F7" s="2">
        <f t="shared" si="0"/>
        <v>180.49833333333331</v>
      </c>
      <c r="G7" s="2">
        <f t="shared" si="1"/>
        <v>-8.6974477814322423E-3</v>
      </c>
      <c r="H7" s="2">
        <f t="shared" si="2"/>
        <v>-0.99996217648573549</v>
      </c>
      <c r="I7" s="2" t="str">
        <f t="shared" si="3"/>
        <v/>
      </c>
      <c r="J7" s="2">
        <f t="shared" si="4"/>
        <v>-18.088315810450467</v>
      </c>
      <c r="K7" s="2" t="str">
        <f t="shared" si="5"/>
        <v/>
      </c>
      <c r="L7" s="8">
        <f t="shared" si="6"/>
        <v>-0.15732813291832781</v>
      </c>
    </row>
    <row r="8" spans="1:12" ht="15.6" x14ac:dyDescent="0.3">
      <c r="A8" s="9" t="s">
        <v>5</v>
      </c>
      <c r="B8" s="3">
        <v>23.748000000000001</v>
      </c>
      <c r="C8" s="2">
        <v>218</v>
      </c>
      <c r="D8" s="2">
        <v>10</v>
      </c>
      <c r="E8" s="2">
        <v>12</v>
      </c>
      <c r="F8" s="2">
        <f t="shared" si="0"/>
        <v>218.17</v>
      </c>
      <c r="G8" s="2">
        <f t="shared" si="1"/>
        <v>-0.61799683689920859</v>
      </c>
      <c r="H8" s="2">
        <f t="shared" si="2"/>
        <v>-0.78618058331567364</v>
      </c>
      <c r="I8" s="2" t="str">
        <f t="shared" si="3"/>
        <v/>
      </c>
      <c r="J8" s="2">
        <f t="shared" si="4"/>
        <v>-18.670216492580618</v>
      </c>
      <c r="K8" s="2" t="str">
        <f t="shared" si="5"/>
        <v/>
      </c>
      <c r="L8" s="8">
        <f t="shared" si="6"/>
        <v>-14.676188882682407</v>
      </c>
    </row>
    <row r="9" spans="1:12" ht="16.2" thickBot="1" x14ac:dyDescent="0.35">
      <c r="A9" s="10" t="s">
        <v>6</v>
      </c>
      <c r="B9" s="11">
        <v>25.914999999999999</v>
      </c>
      <c r="C9" s="12">
        <v>305</v>
      </c>
      <c r="D9" s="12">
        <v>49</v>
      </c>
      <c r="E9" s="12">
        <v>11</v>
      </c>
      <c r="F9" s="12">
        <f t="shared" si="0"/>
        <v>305.8197222222222</v>
      </c>
      <c r="G9" s="12">
        <f t="shared" si="1"/>
        <v>-0.81086241815008753</v>
      </c>
      <c r="H9" s="12">
        <f t="shared" si="2"/>
        <v>0.58523682286044898</v>
      </c>
      <c r="I9" s="12">
        <f t="shared" si="3"/>
        <v>15.166412264428535</v>
      </c>
      <c r="J9" s="12" t="str">
        <f t="shared" si="4"/>
        <v/>
      </c>
      <c r="K9" s="12" t="str">
        <f t="shared" si="5"/>
        <v/>
      </c>
      <c r="L9" s="13">
        <f t="shared" si="6"/>
        <v>-21.013499566359517</v>
      </c>
    </row>
    <row r="10" spans="1:12" ht="15" thickBot="1" x14ac:dyDescent="0.35"/>
    <row r="11" spans="1:12" x14ac:dyDescent="0.3">
      <c r="B11" s="21" t="s">
        <v>21</v>
      </c>
      <c r="C11" s="22"/>
      <c r="D11" s="23"/>
      <c r="F11" s="21" t="s">
        <v>26</v>
      </c>
      <c r="G11" s="23"/>
    </row>
    <row r="12" spans="1:12" x14ac:dyDescent="0.3">
      <c r="B12" s="15" t="s">
        <v>0</v>
      </c>
      <c r="C12" s="14" t="s">
        <v>22</v>
      </c>
      <c r="D12" s="16" t="s">
        <v>23</v>
      </c>
      <c r="F12" s="15" t="s">
        <v>25</v>
      </c>
      <c r="G12" s="16">
        <v>0</v>
      </c>
    </row>
    <row r="13" spans="1:12" ht="15" thickBot="1" x14ac:dyDescent="0.35">
      <c r="B13" s="15" t="s">
        <v>1</v>
      </c>
      <c r="C13" s="14">
        <f>(B4*G4)+G12</f>
        <v>2.8300725853898583</v>
      </c>
      <c r="D13" s="16">
        <f>(B4*H4)+G13</f>
        <v>28.07270763858422</v>
      </c>
      <c r="F13" s="17" t="s">
        <v>24</v>
      </c>
      <c r="G13" s="18">
        <v>0</v>
      </c>
    </row>
    <row r="14" spans="1:12" x14ac:dyDescent="0.3">
      <c r="B14" s="15" t="s">
        <v>2</v>
      </c>
      <c r="C14" s="14">
        <f>(B5*G5)+G12</f>
        <v>28.022550215903184</v>
      </c>
      <c r="D14" s="16">
        <f>(B5*H5)+G13</f>
        <v>17.659836024074064</v>
      </c>
    </row>
    <row r="15" spans="1:12" x14ac:dyDescent="0.3">
      <c r="B15" s="15" t="s">
        <v>3</v>
      </c>
      <c r="C15" s="14">
        <f>(B6*G6)+G12</f>
        <v>17.09553663554464</v>
      </c>
      <c r="D15" s="16">
        <f>(B6*H6)+G13</f>
        <v>0.43223621175355592</v>
      </c>
    </row>
    <row r="16" spans="1:12" x14ac:dyDescent="0.3">
      <c r="B16" s="15" t="s">
        <v>4</v>
      </c>
      <c r="C16" s="14">
        <f>(B7*G7)+G12</f>
        <v>-0.15732813291832781</v>
      </c>
      <c r="D16" s="16">
        <f>(B7*H7)+G13</f>
        <v>-18.088315810450467</v>
      </c>
    </row>
    <row r="17" spans="2:4" x14ac:dyDescent="0.3">
      <c r="B17" s="15" t="s">
        <v>5</v>
      </c>
      <c r="C17" s="14">
        <f>(B8*G8)+G12</f>
        <v>-14.676188882682407</v>
      </c>
      <c r="D17" s="16">
        <f>(B8*H8)+G13</f>
        <v>-18.670216492580618</v>
      </c>
    </row>
    <row r="18" spans="2:4" ht="15" thickBot="1" x14ac:dyDescent="0.35">
      <c r="B18" s="17" t="s">
        <v>6</v>
      </c>
      <c r="C18" s="14">
        <f>(B9*G9)+G12</f>
        <v>-21.013499566359517</v>
      </c>
      <c r="D18" s="16">
        <f>(B9*H9)+G13</f>
        <v>15.166412264428535</v>
      </c>
    </row>
    <row r="19" spans="2:4" x14ac:dyDescent="0.3">
      <c r="B19" s="15" t="s">
        <v>1</v>
      </c>
      <c r="C19" s="14">
        <f>(B4*G4)+G12</f>
        <v>2.8300725853898583</v>
      </c>
      <c r="D19" s="16">
        <f>(B4*H4)+G13</f>
        <v>28.07270763858422</v>
      </c>
    </row>
  </sheetData>
  <mergeCells count="5">
    <mergeCell ref="C1:F1"/>
    <mergeCell ref="I1:J1"/>
    <mergeCell ref="K1:L1"/>
    <mergeCell ref="B11:D11"/>
    <mergeCell ref="F11:G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Irradiação01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Eduardo</dc:creator>
  <cp:lastModifiedBy>Vitor Eduardo</cp:lastModifiedBy>
  <dcterms:created xsi:type="dcterms:W3CDTF">2026-04-25T00:49:50Z</dcterms:created>
  <dcterms:modified xsi:type="dcterms:W3CDTF">2026-04-26T20:43:21Z</dcterms:modified>
</cp:coreProperties>
</file>